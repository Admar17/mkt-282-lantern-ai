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martinez/Downloads/Marketing/Capstone/Week2/"/>
    </mc:Choice>
  </mc:AlternateContent>
  <xr:revisionPtr revIDLastSave="0" documentId="8_{55A8ED7A-C742-D94F-B883-D2730CC33EB8}" xr6:coauthVersionLast="47" xr6:coauthVersionMax="47" xr10:uidLastSave="{00000000-0000-0000-0000-000000000000}"/>
  <bookViews>
    <workbookView xWindow="0" yWindow="660" windowWidth="30240" windowHeight="18980" xr2:uid="{51658058-8315-A640-B733-1DFC39D6EEC8}"/>
  </bookViews>
  <sheets>
    <sheet name="Sheet1" sheetId="1" r:id="rId1"/>
    <sheet name="Data Sour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1" l="1"/>
  <c r="D68" i="1"/>
  <c r="C68" i="1"/>
  <c r="B68" i="1"/>
  <c r="A68" i="1"/>
  <c r="D67" i="1"/>
  <c r="C67" i="1"/>
  <c r="B67" i="1"/>
  <c r="A67" i="1"/>
  <c r="D66" i="1"/>
  <c r="C66" i="1"/>
  <c r="B66" i="1"/>
  <c r="A66" i="1"/>
  <c r="B61" i="1"/>
  <c r="B60" i="1"/>
  <c r="B59" i="1"/>
  <c r="B58" i="1"/>
  <c r="B57" i="1"/>
  <c r="D39" i="1"/>
  <c r="D38" i="1"/>
  <c r="D36" i="1"/>
  <c r="D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B22" i="1"/>
  <c r="C17" i="1"/>
  <c r="C16" i="1"/>
  <c r="C15" i="1"/>
  <c r="C14" i="1"/>
  <c r="C13" i="1"/>
  <c r="C12" i="1"/>
  <c r="C11" i="1"/>
  <c r="C10" i="1"/>
  <c r="C9" i="1"/>
  <c r="C8" i="1"/>
  <c r="C7" i="1"/>
  <c r="C6" i="1"/>
  <c r="C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Martinez</author>
  </authors>
  <commentList>
    <comment ref="B4" authorId="0" shapeId="0" xr:uid="{64934B55-8677-D44F-A91B-2990017562AF}">
      <text>
        <r>
          <rPr>
            <b/>
            <sz val="10"/>
            <color rgb="FF000000"/>
            <rFont val="Tahoma"/>
            <family val="2"/>
          </rPr>
          <t>Alex Martinez:</t>
        </r>
        <r>
          <rPr>
            <sz val="10"/>
            <color rgb="FF000000"/>
            <rFont val="Tahoma"/>
            <family val="2"/>
          </rPr>
          <t xml:space="preserve">
Source: week2_target_and_size.pdf, uploaded by user — statsmodels Logit output, operational model refit on all n=5,000 users (Section 3, In[10] 4-decimal arithmetic block).</t>
        </r>
      </text>
    </comment>
    <comment ref="B20" authorId="0" shapeId="0" xr:uid="{ACD1F6DA-3CB9-844A-9EFF-C81817A872EB}">
      <text>
        <r>
          <rPr>
            <b/>
            <sz val="10"/>
            <color rgb="FF000000"/>
            <rFont val="Tahoma"/>
            <family val="2"/>
          </rPr>
          <t>Alex Martinez:</t>
        </r>
        <r>
          <rPr>
            <sz val="10"/>
            <color rgb="FF000000"/>
            <rFont val="Tahoma"/>
            <family val="2"/>
          </rPr>
          <t xml:space="preserve">
Source: week2_target_and_size.pdf, uploaded by user — Fact Pack tab 4, Launch-offer planning numbers.</t>
        </r>
      </text>
    </comment>
    <comment ref="B21" authorId="0" shapeId="0" xr:uid="{40053475-2760-AB4D-A503-2F8C31B6854E}">
      <text>
        <r>
          <rPr>
            <b/>
            <sz val="10"/>
            <color rgb="FF000000"/>
            <rFont val="Tahoma"/>
            <family val="2"/>
          </rPr>
          <t>Alex Martinez:</t>
        </r>
        <r>
          <rPr>
            <sz val="10"/>
            <color rgb="FF000000"/>
            <rFont val="Tahoma"/>
            <family val="2"/>
          </rPr>
          <t xml:space="preserve">
Source: week2_target_and_size.pdf, uploaded by user — Fact Pack tab 4, Launch-offer planning numbers.</t>
        </r>
      </text>
    </comment>
    <comment ref="B26" authorId="0" shapeId="0" xr:uid="{BFDB7732-F808-AC43-9C07-E8EDE4563727}">
      <text>
        <r>
          <rPr>
            <b/>
            <sz val="10"/>
            <color rgb="FF000000"/>
            <rFont val="Tahoma"/>
            <family val="2"/>
          </rPr>
          <t>Alex Martinez:</t>
        </r>
        <r>
          <rPr>
            <sz val="10"/>
            <color rgb="FF000000"/>
            <rFont val="Tahoma"/>
            <family val="2"/>
          </rPr>
          <t xml:space="preserve">
Source: week2_target_and_size.pdf, uploaded by user — Exhibit 4, user L100002 telemetry record.</t>
        </r>
      </text>
    </comment>
    <comment ref="D37" authorId="0" shapeId="0" xr:uid="{675369E6-3F73-CC41-A827-382983201684}">
      <text>
        <r>
          <rPr>
            <b/>
            <sz val="10"/>
            <color rgb="FF000000"/>
            <rFont val="Tahoma"/>
            <family val="2"/>
          </rPr>
          <t>Alex Martinez:</t>
        </r>
        <r>
          <rPr>
            <sz val="10"/>
            <color rgb="FF000000"/>
            <rFont val="Tahoma"/>
            <family val="2"/>
          </rPr>
          <t xml:space="preserve">
Source: week2_target_and_size.pdf, uploaded by user — In[10] output, 'P(click) ... model output 12.7637%'.</t>
        </r>
      </text>
    </comment>
    <comment ref="A42" authorId="0" shapeId="0" xr:uid="{8C11E808-CC19-DF41-9B2B-55B8BC4FB62F}">
      <text>
        <r>
          <rPr>
            <b/>
            <sz val="10"/>
            <color rgb="FF000000"/>
            <rFont val="Tahoma"/>
            <family val="2"/>
          </rPr>
          <t>Alex Martinez:</t>
        </r>
        <r>
          <rPr>
            <sz val="10"/>
            <color rgb="FF000000"/>
            <rFont val="Tahoma"/>
            <family val="2"/>
          </rPr>
          <t xml:space="preserve">
Source: week2_target_and_size.pdf, uploaded by user, 10 rows, generated by model diagnostics (statsmodels/sklearn decile_table function) on the 30% stratified holdout. From a handed-off conversation; not run in this conversation. Full query on the Data Sources tab.</t>
        </r>
      </text>
    </comment>
    <comment ref="D70" authorId="0" shapeId="0" xr:uid="{32924131-DDC8-134D-AEC6-1BFB290C8405}">
      <text>
        <r>
          <rPr>
            <b/>
            <sz val="10"/>
            <color rgb="FF000000"/>
            <rFont val="Tahoma"/>
            <family val="2"/>
          </rPr>
          <t>Alex Martinez:</t>
        </r>
        <r>
          <rPr>
            <sz val="10"/>
            <color rgb="FF000000"/>
            <rFont val="Tahoma"/>
            <family val="2"/>
          </rPr>
          <t xml:space="preserve">
Source: week2_target_and_size.pdf, uploaded by user — Section 6, expected offer-program profit '+$190k targeted' scaled to 400,000 MAU using the full 5,000-user operational scores (mean p among eligible 21.3%, n=102,320).</t>
        </r>
      </text>
    </comment>
  </commentList>
</comments>
</file>

<file path=xl/sharedStrings.xml><?xml version="1.0" encoding="utf-8"?>
<sst xmlns="http://schemas.openxmlformats.org/spreadsheetml/2006/main" count="85" uniqueCount="77">
  <si>
    <t>Lantern AI — Upgrade-Intent Model: Hand Verification &amp; Profit-at-Cutoff Check</t>
  </si>
  <si>
    <t>1. Operational Logit Coefficients (n = 5,000)</t>
  </si>
  <si>
    <t>Feature</t>
  </si>
  <si>
    <t>Coefficient (β)</t>
  </si>
  <si>
    <t>Odds Ratio (e^β)</t>
  </si>
  <si>
    <t>const (intercept)</t>
  </si>
  <si>
    <t>tenure_months</t>
  </si>
  <si>
    <t>sessions_per_week</t>
  </si>
  <si>
    <t>avg_msgs_per_session</t>
  </si>
  <si>
    <t>agent_preview_uses_30d</t>
  </si>
  <si>
    <t>doc_uploads_30d</t>
  </si>
  <si>
    <t>privacy_mode_share</t>
  </si>
  <si>
    <t>household_shared_device</t>
  </si>
  <si>
    <t>referred_by_friend</t>
  </si>
  <si>
    <t>platform_Web (vs Android)</t>
  </si>
  <si>
    <t>platform_iOS (vs Android)</t>
  </si>
  <si>
    <t>occupation_professional (vs other)</t>
  </si>
  <si>
    <t>occupation_student (vs other)</t>
  </si>
  <si>
    <t>2. Targeting Assumptions (Fact Pack)</t>
  </si>
  <si>
    <t>V — value per shown user, per point of intent (24-mo)</t>
  </si>
  <si>
    <t>c — cost per shown user ($15 credit × expected redemption + processing)</t>
  </si>
  <si>
    <t>Cutoff p* = c / V</t>
  </si>
  <si>
    <t>3. Hand-Verify: User L100002 (Exhibit 4)</t>
  </si>
  <si>
    <t>16-mo tenure, Android, professional, 11.8 sessions/wk, 9.4 msgs/session, 4 agent-preview uses, 11 doc uploads, 20% privacy-mode share. Household device = 0, referred by friend = 0 (both drop out, x=0).</t>
  </si>
  <si>
    <t>x (user value)</t>
  </si>
  <si>
    <t>β (from Section 1)</t>
  </si>
  <si>
    <t>β × x</t>
  </si>
  <si>
    <t>intercept</t>
  </si>
  <si>
    <t>occupation_professional</t>
  </si>
  <si>
    <t>z = Σ(β×x)</t>
  </si>
  <si>
    <t>p̂ = 1 / (1 + e^(−z))</t>
  </si>
  <si>
    <t>Model-reported p̂ (for comparison)</t>
  </si>
  <si>
    <t>Cutoff p*</t>
  </si>
  <si>
    <t>Decision</t>
  </si>
  <si>
    <t>4. Holdout Decile Table (n = 1,500; base rate 9.87%)</t>
  </si>
  <si>
    <t>Decile</t>
  </si>
  <si>
    <t>n</t>
  </si>
  <si>
    <t>Mean Predicted p</t>
  </si>
  <si>
    <t>Actual Rate</t>
  </si>
  <si>
    <t>Positives</t>
  </si>
  <si>
    <t>Lift</t>
  </si>
  <si>
    <t>Cum Capture</t>
  </si>
  <si>
    <t>5. Profit-at-Cutoff Check — Decile 3 (the marginal decile)</t>
  </si>
  <si>
    <t>Decile 3's mean predicted p (13.8%) is essentially equal to the cutoff p* (13.77%). If the cutoff is set correctly, this decile's expected value per shown user should be ≈ $0 — the breakeven point between showing and not showing the offer.</t>
  </si>
  <si>
    <t>Decile 3 mean predicted p</t>
  </si>
  <si>
    <t>EV per shown user = mean p × V − c</t>
  </si>
  <si>
    <t>Decile 3 holdout n</t>
  </si>
  <si>
    <t>Scaled to 400k MAU (n ÷ 1,500 × 400,000)</t>
  </si>
  <si>
    <t>Expected profit, Decile 3 at 400k scale</t>
  </si>
  <si>
    <t>→ Confirms cutoff: EV ≈ $0 at the decile whose mean p matches p*, validating c/V as the breakeven threshold.</t>
  </si>
  <si>
    <t>Cross-check — Deciles 1–3 (all clear cutoff) vs. reported program total</t>
  </si>
  <si>
    <t>EV/user</t>
  </si>
  <si>
    <t>Scaled n (400k)</t>
  </si>
  <si>
    <t>Expected Profit</t>
  </si>
  <si>
    <t>Sum (deciles 1–3, holdout-based)</t>
  </si>
  <si>
    <t>Reported program total (full 5,000-user scored sample)</t>
  </si>
  <si>
    <t>Note: the two totals differ because the holdout decile table uses the 1,500-row test split (different mean p distribution) while the reported $190k uses the operational model refit on all 5,000 users — both point the same direction and the per-decile logic matches.</t>
  </si>
  <si>
    <t>Written to</t>
  </si>
  <si>
    <t>Source</t>
  </si>
  <si>
    <t>Object</t>
  </si>
  <si>
    <t>Obtained via</t>
  </si>
  <si>
    <t>Query or request</t>
  </si>
  <si>
    <t>Parameters</t>
  </si>
  <si>
    <t>Run at</t>
  </si>
  <si>
    <t>Requested by</t>
  </si>
  <si>
    <t>Row count</t>
  </si>
  <si>
    <t>Changes after retrieval</t>
  </si>
  <si>
    <t>Notes</t>
  </si>
  <si>
    <t>Sheet1!A42:G52</t>
  </si>
  <si>
    <t>week2_target_and_size.pdf (uploaded file)</t>
  </si>
  <si>
    <t>In[8] decile_table() output, holdout split (n=1,500)</t>
  </si>
  <si>
    <t>Uploaded file</t>
  </si>
  <si>
    <t>User uploaded week2_target_and_size.pdf; assistant extracted the holdout decile-lift table (Section 4 of the analysis) to build a hand-verifiable profit-at-cutoff check</t>
  </si>
  <si>
    <t>n_deciles=10, holdout n=1,500, base rate 9.87%</t>
  </si>
  <si>
    <t>Sun Sep 13 2026 16:00:10 GMT-0500 (Central Daylight Time)</t>
  </si>
  <si>
    <t>None — values transcribed as-is from the PDF table</t>
  </si>
  <si>
    <t>Used in Sections 4 and 5 of Sheet1 to confirm the profit-at-cutoff figure for Decile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</si>
</sst>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&quot;×&quot;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6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c78732d-12c1-4ccb-bb66-85cc23207c9e}">
  <we:reference id="WA200010725" version="1.0.0.1" store="en-US" storeType="OMEX"/>
  <we:alternateReferences/>
  <we:properties>
    <we:property name="Microsoft.Office.CampaignId" value="&quot;none&quot;"/>
    <we:property name="claude.fileId" value="&quot;69d9b4c3-54d3-4c20-8093-c6d69e5d2af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:G71"/>
  <sheetViews>
    <sheetView tabSelected="1" topLeftCell="A12" zoomScaleNormal="100" workbookViewId="0">
      <selection activeCell="E39" sqref="A24:E39"/>
    </sheetView>
  </sheetViews>
  <sheetFormatPr baseColWidth="10" defaultColWidth="10.6640625" defaultRowHeight="16" x14ac:dyDescent="0.2"/>
  <cols>
    <col min="1" max="1" width="32.1640625" customWidth="1"/>
  </cols>
  <sheetData>
    <row r="1" spans="1:3" ht="19" x14ac:dyDescent="0.25">
      <c r="A1" s="1" t="s">
        <v>0</v>
      </c>
    </row>
    <row r="3" spans="1:3" x14ac:dyDescent="0.2">
      <c r="A3" s="2" t="s">
        <v>1</v>
      </c>
    </row>
    <row r="4" spans="1:3" x14ac:dyDescent="0.2">
      <c r="A4" s="2" t="s">
        <v>2</v>
      </c>
      <c r="B4" s="2" t="s">
        <v>3</v>
      </c>
      <c r="C4" s="2" t="s">
        <v>4</v>
      </c>
    </row>
    <row r="5" spans="1:3" x14ac:dyDescent="0.2">
      <c r="A5" t="s">
        <v>5</v>
      </c>
      <c r="B5" s="3">
        <v>-4.5049000000000001</v>
      </c>
      <c r="C5">
        <f>EXP(B5)</f>
        <v>1.1054695601147881E-2</v>
      </c>
    </row>
    <row r="6" spans="1:3" x14ac:dyDescent="0.2">
      <c r="A6" t="s">
        <v>6</v>
      </c>
      <c r="B6" s="3">
        <v>1.3599999999999999E-2</v>
      </c>
      <c r="C6">
        <f>EXP(B6)</f>
        <v>1.0136929006719777</v>
      </c>
    </row>
    <row r="7" spans="1:3" x14ac:dyDescent="0.2">
      <c r="A7" t="s">
        <v>7</v>
      </c>
      <c r="B7" s="3">
        <v>5.7599999999999998E-2</v>
      </c>
      <c r="C7">
        <f>EXP(B7)</f>
        <v>1.0592911944779007</v>
      </c>
    </row>
    <row r="8" spans="1:3" x14ac:dyDescent="0.2">
      <c r="A8" t="s">
        <v>8</v>
      </c>
      <c r="B8" s="3">
        <v>-4.7999999999999996E-3</v>
      </c>
      <c r="C8">
        <f>EXP(B8)</f>
        <v>0.99521150159009719</v>
      </c>
    </row>
    <row r="9" spans="1:3" x14ac:dyDescent="0.2">
      <c r="A9" t="s">
        <v>9</v>
      </c>
      <c r="B9" s="3">
        <v>0.12540000000000001</v>
      </c>
      <c r="C9">
        <f>EXP(B9)</f>
        <v>1.1336018031120174</v>
      </c>
    </row>
    <row r="10" spans="1:3" x14ac:dyDescent="0.2">
      <c r="A10" t="s">
        <v>10</v>
      </c>
      <c r="B10" s="3">
        <v>5.1900000000000002E-2</v>
      </c>
      <c r="C10">
        <f>EXP(B10)</f>
        <v>1.0532704102058166</v>
      </c>
    </row>
    <row r="11" spans="1:3" x14ac:dyDescent="0.2">
      <c r="A11" t="s">
        <v>11</v>
      </c>
      <c r="B11" s="3">
        <v>1.6121000000000001</v>
      </c>
      <c r="C11">
        <f>EXP(B11)</f>
        <v>5.013328170336691</v>
      </c>
    </row>
    <row r="12" spans="1:3" x14ac:dyDescent="0.2">
      <c r="A12" t="s">
        <v>12</v>
      </c>
      <c r="B12" s="3">
        <v>-7.2599999999999998E-2</v>
      </c>
      <c r="C12">
        <f>EXP(B12)</f>
        <v>0.92997274473578617</v>
      </c>
    </row>
    <row r="13" spans="1:3" x14ac:dyDescent="0.2">
      <c r="A13" t="s">
        <v>13</v>
      </c>
      <c r="B13" s="3">
        <v>0.34239999999999998</v>
      </c>
      <c r="C13">
        <f>EXP(B13)</f>
        <v>1.4083235142689496</v>
      </c>
    </row>
    <row r="14" spans="1:3" x14ac:dyDescent="0.2">
      <c r="A14" t="s">
        <v>14</v>
      </c>
      <c r="B14" s="3">
        <v>0.158</v>
      </c>
      <c r="C14">
        <f>EXP(B14)</f>
        <v>1.1711661947076695</v>
      </c>
    </row>
    <row r="15" spans="1:3" x14ac:dyDescent="0.2">
      <c r="A15" t="s">
        <v>15</v>
      </c>
      <c r="B15" s="3">
        <v>0.13439999999999999</v>
      </c>
      <c r="C15">
        <f>EXP(B15)</f>
        <v>1.1438502682561278</v>
      </c>
    </row>
    <row r="16" spans="1:3" x14ac:dyDescent="0.2">
      <c r="A16" t="s">
        <v>16</v>
      </c>
      <c r="B16" s="3">
        <v>0.33600000000000002</v>
      </c>
      <c r="C16">
        <f>EXP(B16)</f>
        <v>1.3993390248109305</v>
      </c>
    </row>
    <row r="17" spans="1:4" x14ac:dyDescent="0.2">
      <c r="A17" t="s">
        <v>17</v>
      </c>
      <c r="B17" s="3">
        <v>-0.20169999999999999</v>
      </c>
      <c r="C17">
        <f>EXP(B17)</f>
        <v>0.81734009319356826</v>
      </c>
    </row>
    <row r="19" spans="1:4" x14ac:dyDescent="0.2">
      <c r="A19" s="2" t="s">
        <v>18</v>
      </c>
    </row>
    <row r="20" spans="1:4" x14ac:dyDescent="0.2">
      <c r="A20" t="s">
        <v>19</v>
      </c>
      <c r="B20" s="3">
        <v>24.7</v>
      </c>
    </row>
    <row r="21" spans="1:4" x14ac:dyDescent="0.2">
      <c r="A21" t="s">
        <v>20</v>
      </c>
      <c r="B21" s="3">
        <v>3.4</v>
      </c>
    </row>
    <row r="22" spans="1:4" x14ac:dyDescent="0.2">
      <c r="A22" t="s">
        <v>21</v>
      </c>
      <c r="B22" s="2">
        <f>B21/B20</f>
        <v>0.13765182186234817</v>
      </c>
    </row>
    <row r="24" spans="1:4" x14ac:dyDescent="0.2">
      <c r="A24" s="2" t="s">
        <v>22</v>
      </c>
    </row>
    <row r="25" spans="1:4" x14ac:dyDescent="0.2">
      <c r="A25" s="4" t="s">
        <v>23</v>
      </c>
    </row>
    <row r="26" spans="1:4" x14ac:dyDescent="0.2">
      <c r="A26" s="2" t="s">
        <v>2</v>
      </c>
      <c r="B26" s="2" t="s">
        <v>24</v>
      </c>
      <c r="C26" s="2" t="s">
        <v>25</v>
      </c>
      <c r="D26" s="2" t="s">
        <v>26</v>
      </c>
    </row>
    <row r="27" spans="1:4" x14ac:dyDescent="0.2">
      <c r="A27" t="s">
        <v>27</v>
      </c>
      <c r="B27">
        <v>1</v>
      </c>
      <c r="C27">
        <f>B5</f>
        <v>-4.5049000000000001</v>
      </c>
      <c r="D27">
        <f>B27*C27</f>
        <v>-4.5049000000000001</v>
      </c>
    </row>
    <row r="28" spans="1:4" x14ac:dyDescent="0.2">
      <c r="A28" t="s">
        <v>6</v>
      </c>
      <c r="B28">
        <v>16</v>
      </c>
      <c r="C28">
        <f>B6</f>
        <v>1.3599999999999999E-2</v>
      </c>
      <c r="D28">
        <f>B28*C28</f>
        <v>0.21759999999999999</v>
      </c>
    </row>
    <row r="29" spans="1:4" x14ac:dyDescent="0.2">
      <c r="A29" t="s">
        <v>7</v>
      </c>
      <c r="B29">
        <v>11.8</v>
      </c>
      <c r="C29">
        <f>B7</f>
        <v>5.7599999999999998E-2</v>
      </c>
      <c r="D29">
        <f>B29*C29</f>
        <v>0.67968000000000006</v>
      </c>
    </row>
    <row r="30" spans="1:4" x14ac:dyDescent="0.2">
      <c r="A30" t="s">
        <v>8</v>
      </c>
      <c r="B30">
        <v>9.4</v>
      </c>
      <c r="C30">
        <f>B8</f>
        <v>-4.7999999999999996E-3</v>
      </c>
      <c r="D30">
        <f>B30*C30</f>
        <v>-4.512E-2</v>
      </c>
    </row>
    <row r="31" spans="1:4" x14ac:dyDescent="0.2">
      <c r="A31" t="s">
        <v>9</v>
      </c>
      <c r="B31">
        <v>4</v>
      </c>
      <c r="C31">
        <f>B9</f>
        <v>0.12540000000000001</v>
      </c>
      <c r="D31">
        <f>B31*C31</f>
        <v>0.50160000000000005</v>
      </c>
    </row>
    <row r="32" spans="1:4" x14ac:dyDescent="0.2">
      <c r="A32" t="s">
        <v>10</v>
      </c>
      <c r="B32">
        <v>11</v>
      </c>
      <c r="C32">
        <f>B10</f>
        <v>5.1900000000000002E-2</v>
      </c>
      <c r="D32">
        <f>B32*C32</f>
        <v>0.57089999999999996</v>
      </c>
    </row>
    <row r="33" spans="1:7" x14ac:dyDescent="0.2">
      <c r="A33" t="s">
        <v>11</v>
      </c>
      <c r="B33">
        <v>0.2</v>
      </c>
      <c r="C33">
        <f>B11</f>
        <v>1.6121000000000001</v>
      </c>
      <c r="D33">
        <f>B33*C33</f>
        <v>0.32242000000000004</v>
      </c>
    </row>
    <row r="34" spans="1:7" x14ac:dyDescent="0.2">
      <c r="A34" t="s">
        <v>28</v>
      </c>
      <c r="B34">
        <v>1</v>
      </c>
      <c r="C34">
        <f>B16</f>
        <v>0.33600000000000002</v>
      </c>
      <c r="D34">
        <f>B34*C34</f>
        <v>0.33600000000000002</v>
      </c>
    </row>
    <row r="35" spans="1:7" x14ac:dyDescent="0.2">
      <c r="A35" s="2" t="s">
        <v>29</v>
      </c>
      <c r="D35" s="2">
        <f>SUM(D27:D34)</f>
        <v>-1.9218199999999996</v>
      </c>
    </row>
    <row r="36" spans="1:7" x14ac:dyDescent="0.2">
      <c r="A36" s="2" t="s">
        <v>30</v>
      </c>
      <c r="D36" s="2">
        <f>1/(1+EXP(-D35))</f>
        <v>0.12765875010601063</v>
      </c>
    </row>
    <row r="37" spans="1:7" x14ac:dyDescent="0.2">
      <c r="A37" t="s">
        <v>31</v>
      </c>
      <c r="D37">
        <v>0.127637</v>
      </c>
    </row>
    <row r="38" spans="1:7" x14ac:dyDescent="0.2">
      <c r="A38" t="s">
        <v>32</v>
      </c>
      <c r="D38">
        <f>B22</f>
        <v>0.13765182186234817</v>
      </c>
    </row>
    <row r="39" spans="1:7" x14ac:dyDescent="0.2">
      <c r="A39" t="s">
        <v>33</v>
      </c>
      <c r="D39" s="2" t="str">
        <f>IF(D36&gt;=D38,"CLEARS — show offer","DOES NOT CLEAR — no offer")</f>
        <v>DOES NOT CLEAR — no offer</v>
      </c>
    </row>
    <row r="41" spans="1:7" x14ac:dyDescent="0.2">
      <c r="A41" s="2" t="s">
        <v>34</v>
      </c>
    </row>
    <row r="42" spans="1:7" x14ac:dyDescent="0.2">
      <c r="A42" s="2" t="s">
        <v>35</v>
      </c>
      <c r="B42" s="2" t="s">
        <v>36</v>
      </c>
      <c r="C42" s="2" t="s">
        <v>37</v>
      </c>
      <c r="D42" s="2" t="s">
        <v>38</v>
      </c>
      <c r="E42" s="2" t="s">
        <v>39</v>
      </c>
      <c r="F42" s="2" t="s">
        <v>40</v>
      </c>
      <c r="G42" s="2" t="s">
        <v>41</v>
      </c>
    </row>
    <row r="43" spans="1:7" x14ac:dyDescent="0.2">
      <c r="A43">
        <v>1</v>
      </c>
      <c r="B43">
        <v>150</v>
      </c>
      <c r="C43" s="5">
        <v>0.26200000000000001</v>
      </c>
      <c r="D43" s="5">
        <v>0.26</v>
      </c>
      <c r="E43">
        <v>39</v>
      </c>
      <c r="F43" s="6">
        <v>2.64</v>
      </c>
      <c r="G43" s="5">
        <v>0.26400000000000001</v>
      </c>
    </row>
    <row r="44" spans="1:7" x14ac:dyDescent="0.2">
      <c r="A44">
        <v>2</v>
      </c>
      <c r="B44">
        <v>150</v>
      </c>
      <c r="C44" s="5">
        <v>0.17399999999999999</v>
      </c>
      <c r="D44" s="5">
        <v>0.187</v>
      </c>
      <c r="E44">
        <v>28</v>
      </c>
      <c r="F44" s="6">
        <v>1.89</v>
      </c>
      <c r="G44" s="5">
        <v>0.45300000000000001</v>
      </c>
    </row>
    <row r="45" spans="1:7" x14ac:dyDescent="0.2">
      <c r="A45">
        <v>3</v>
      </c>
      <c r="B45">
        <v>150</v>
      </c>
      <c r="C45" s="5">
        <v>0.13800000000000001</v>
      </c>
      <c r="D45" s="5">
        <v>0.2</v>
      </c>
      <c r="E45">
        <v>30</v>
      </c>
      <c r="F45" s="6">
        <v>2.0299999999999998</v>
      </c>
      <c r="G45" s="5">
        <v>0.65500000000000003</v>
      </c>
    </row>
    <row r="46" spans="1:7" x14ac:dyDescent="0.2">
      <c r="A46">
        <v>4</v>
      </c>
      <c r="B46">
        <v>150</v>
      </c>
      <c r="C46" s="5">
        <v>0.11</v>
      </c>
      <c r="D46" s="5">
        <v>0.107</v>
      </c>
      <c r="E46">
        <v>16</v>
      </c>
      <c r="F46" s="6">
        <v>1.08</v>
      </c>
      <c r="G46" s="5">
        <v>0.76400000000000001</v>
      </c>
    </row>
    <row r="47" spans="1:7" x14ac:dyDescent="0.2">
      <c r="A47">
        <v>5</v>
      </c>
      <c r="B47">
        <v>150</v>
      </c>
      <c r="C47" s="5">
        <v>8.5999999999999993E-2</v>
      </c>
      <c r="D47" s="5">
        <v>9.2999999999999999E-2</v>
      </c>
      <c r="E47">
        <v>14</v>
      </c>
      <c r="F47" s="6">
        <v>0.95</v>
      </c>
      <c r="G47" s="5">
        <v>0.85799999999999998</v>
      </c>
    </row>
    <row r="48" spans="1:7" x14ac:dyDescent="0.2">
      <c r="A48">
        <v>6</v>
      </c>
      <c r="B48">
        <v>150</v>
      </c>
      <c r="C48" s="5">
        <v>6.5000000000000002E-2</v>
      </c>
      <c r="D48" s="5">
        <v>4.7E-2</v>
      </c>
      <c r="E48">
        <v>7</v>
      </c>
      <c r="F48" s="6">
        <v>0.47</v>
      </c>
      <c r="G48" s="5">
        <v>0.90500000000000003</v>
      </c>
    </row>
    <row r="49" spans="1:7" x14ac:dyDescent="0.2">
      <c r="A49">
        <v>7</v>
      </c>
      <c r="B49">
        <v>150</v>
      </c>
      <c r="C49" s="5">
        <v>0.05</v>
      </c>
      <c r="D49" s="5">
        <v>0.02</v>
      </c>
      <c r="E49">
        <v>3</v>
      </c>
      <c r="F49" s="6">
        <v>0.2</v>
      </c>
      <c r="G49" s="5">
        <v>0.92600000000000005</v>
      </c>
    </row>
    <row r="50" spans="1:7" x14ac:dyDescent="0.2">
      <c r="A50">
        <v>8</v>
      </c>
      <c r="B50">
        <v>150</v>
      </c>
      <c r="C50" s="5">
        <v>0.04</v>
      </c>
      <c r="D50" s="5">
        <v>5.2999999999999999E-2</v>
      </c>
      <c r="E50">
        <v>8</v>
      </c>
      <c r="F50" s="6">
        <v>0.54</v>
      </c>
      <c r="G50" s="5">
        <v>0.98</v>
      </c>
    </row>
    <row r="51" spans="1:7" x14ac:dyDescent="0.2">
      <c r="A51">
        <v>9</v>
      </c>
      <c r="B51">
        <v>150</v>
      </c>
      <c r="C51" s="5">
        <v>3.2000000000000001E-2</v>
      </c>
      <c r="D51" s="5">
        <v>1.2999999999999999E-2</v>
      </c>
      <c r="E51">
        <v>2</v>
      </c>
      <c r="F51" s="6">
        <v>0.14000000000000001</v>
      </c>
      <c r="G51" s="5">
        <v>0.99299999999999999</v>
      </c>
    </row>
    <row r="52" spans="1:7" x14ac:dyDescent="0.2">
      <c r="A52">
        <v>10</v>
      </c>
      <c r="B52">
        <v>150</v>
      </c>
      <c r="C52" s="5">
        <v>2.3E-2</v>
      </c>
      <c r="D52" s="5">
        <v>7.0000000000000001E-3</v>
      </c>
      <c r="E52">
        <v>1</v>
      </c>
      <c r="F52" s="6">
        <v>7.0000000000000007E-2</v>
      </c>
      <c r="G52" s="5">
        <v>1</v>
      </c>
    </row>
    <row r="54" spans="1:7" x14ac:dyDescent="0.2">
      <c r="A54" s="2" t="s">
        <v>42</v>
      </c>
    </row>
    <row r="55" spans="1:7" x14ac:dyDescent="0.2">
      <c r="A55" s="4" t="s">
        <v>43</v>
      </c>
    </row>
    <row r="57" spans="1:7" x14ac:dyDescent="0.2">
      <c r="A57" t="s">
        <v>44</v>
      </c>
      <c r="B57">
        <f>C45</f>
        <v>0.13800000000000001</v>
      </c>
    </row>
    <row r="58" spans="1:7" x14ac:dyDescent="0.2">
      <c r="A58" t="s">
        <v>45</v>
      </c>
      <c r="B58">
        <f>B57*B20-B21</f>
        <v>8.6000000000003851E-3</v>
      </c>
    </row>
    <row r="59" spans="1:7" x14ac:dyDescent="0.2">
      <c r="A59" t="s">
        <v>46</v>
      </c>
      <c r="B59">
        <f>B45</f>
        <v>150</v>
      </c>
    </row>
    <row r="60" spans="1:7" x14ac:dyDescent="0.2">
      <c r="A60" t="s">
        <v>47</v>
      </c>
      <c r="B60">
        <f>B59/1500*400000</f>
        <v>40000</v>
      </c>
    </row>
    <row r="61" spans="1:7" x14ac:dyDescent="0.2">
      <c r="A61" t="s">
        <v>48</v>
      </c>
      <c r="B61" s="2">
        <f>B58*B60</f>
        <v>344.0000000000154</v>
      </c>
    </row>
    <row r="62" spans="1:7" x14ac:dyDescent="0.2">
      <c r="A62" s="4" t="s">
        <v>49</v>
      </c>
    </row>
    <row r="64" spans="1:7" x14ac:dyDescent="0.2">
      <c r="A64" s="2" t="s">
        <v>50</v>
      </c>
    </row>
    <row r="65" spans="1:4" x14ac:dyDescent="0.2">
      <c r="A65" t="s">
        <v>35</v>
      </c>
      <c r="B65" t="s">
        <v>51</v>
      </c>
      <c r="C65" t="s">
        <v>52</v>
      </c>
      <c r="D65" t="s">
        <v>53</v>
      </c>
    </row>
    <row r="66" spans="1:4" x14ac:dyDescent="0.2">
      <c r="A66">
        <f>A43</f>
        <v>1</v>
      </c>
      <c r="B66">
        <f>C43*$B$20-$B$21</f>
        <v>3.0714000000000001</v>
      </c>
      <c r="C66">
        <f>B43/1500*400000</f>
        <v>40000</v>
      </c>
      <c r="D66">
        <f>B66*C66</f>
        <v>122856</v>
      </c>
    </row>
    <row r="67" spans="1:4" x14ac:dyDescent="0.2">
      <c r="A67">
        <f>A44</f>
        <v>2</v>
      </c>
      <c r="B67">
        <f>C44*$B$20-$B$21</f>
        <v>0.89779999999999971</v>
      </c>
      <c r="C67">
        <f>B44/1500*400000</f>
        <v>40000</v>
      </c>
      <c r="D67">
        <f>B67*C67</f>
        <v>35911.999999999985</v>
      </c>
    </row>
    <row r="68" spans="1:4" x14ac:dyDescent="0.2">
      <c r="A68">
        <f>A45</f>
        <v>3</v>
      </c>
      <c r="B68">
        <f>C45*$B$20-$B$21</f>
        <v>8.6000000000003851E-3</v>
      </c>
      <c r="C68">
        <f>B45/1500*400000</f>
        <v>40000</v>
      </c>
      <c r="D68">
        <f>B68*C68</f>
        <v>344.0000000000154</v>
      </c>
    </row>
    <row r="69" spans="1:4" x14ac:dyDescent="0.2">
      <c r="A69" s="2" t="s">
        <v>54</v>
      </c>
      <c r="D69" s="2">
        <f>SUM(D66:D68)</f>
        <v>159112.00000000003</v>
      </c>
    </row>
    <row r="70" spans="1:4" x14ac:dyDescent="0.2">
      <c r="A70" t="s">
        <v>55</v>
      </c>
      <c r="D70">
        <v>190000</v>
      </c>
    </row>
    <row r="71" spans="1:4" x14ac:dyDescent="0.2">
      <c r="A71" s="4" t="s">
        <v>56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47CC-6519-334E-BD35-D8EE26C28DED}">
  <dimension ref="A1:K2"/>
  <sheetViews>
    <sheetView workbookViewId="0"/>
  </sheetViews>
  <sheetFormatPr baseColWidth="10" defaultRowHeight="16" x14ac:dyDescent="0.2"/>
  <cols>
    <col min="1" max="1" width="14.5" bestFit="1" customWidth="1"/>
    <col min="2" max="2" width="37.1640625" bestFit="1" customWidth="1"/>
    <col min="3" max="3" width="43.1640625" bestFit="1" customWidth="1"/>
    <col min="4" max="4" width="12.1640625" bestFit="1" customWidth="1"/>
    <col min="5" max="5" width="140" bestFit="1" customWidth="1"/>
    <col min="6" max="6" width="41" bestFit="1" customWidth="1"/>
    <col min="7" max="7" width="52" bestFit="1" customWidth="1"/>
    <col min="8" max="8" width="12.33203125" bestFit="1" customWidth="1"/>
    <col min="9" max="9" width="9.83203125" bestFit="1" customWidth="1"/>
    <col min="10" max="10" width="44" bestFit="1" customWidth="1"/>
    <col min="11" max="11" width="71.5" bestFit="1" customWidth="1"/>
  </cols>
  <sheetData>
    <row r="1" spans="1:11" x14ac:dyDescent="0.2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</row>
    <row r="2" spans="1:11" x14ac:dyDescent="0.2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I2">
        <v>10</v>
      </c>
      <c r="J2" t="s">
        <v>75</v>
      </c>
      <c r="K2" t="s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 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Martinez, Alexis D</cp:lastModifiedBy>
  <dcterms:created xsi:type="dcterms:W3CDTF">2018-06-07T17:34:22Z</dcterms:created>
  <dcterms:modified xsi:type="dcterms:W3CDTF">2026-09-14T00:13:44Z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